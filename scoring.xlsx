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I_Learning\AMAN Projects\Week1 - prompt_lab\"/>
    </mc:Choice>
  </mc:AlternateContent>
  <xr:revisionPtr revIDLastSave="0" documentId="13_ncr:1_{7AF0F171-E026-45C5-BE5A-09801A924BB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cores" sheetId="1" r:id="rId1"/>
    <sheet name="Criteri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19" i="3"/>
  <c r="F20" i="3"/>
  <c r="F19" i="3"/>
  <c r="F12" i="3"/>
  <c r="F13" i="3"/>
  <c r="E20" i="3"/>
  <c r="E13" i="3"/>
  <c r="E1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<sst xmlns="http://schemas.openxmlformats.org/spreadsheetml/2006/main" count="200" uniqueCount="103">
  <si>
    <t>Task</t>
  </si>
  <si>
    <t>Variant</t>
  </si>
  <si>
    <t>Input ID</t>
  </si>
  <si>
    <t>Model</t>
  </si>
  <si>
    <t>Accuracy</t>
  </si>
  <si>
    <t>Cost</t>
  </si>
  <si>
    <t>Latency</t>
  </si>
  <si>
    <t>Log Triage</t>
  </si>
  <si>
    <t>Zero-shot</t>
  </si>
  <si>
    <t>Few-shot</t>
  </si>
  <si>
    <t>GPT-5.5</t>
  </si>
  <si>
    <t>10/10</t>
  </si>
  <si>
    <t>30/30</t>
  </si>
  <si>
    <t>Points</t>
  </si>
  <si>
    <t>Criterion for ID 1</t>
  </si>
  <si>
    <t>Criterion for ID 2</t>
  </si>
  <si>
    <t>Correctly identifies the main error as an upstream timeout and connection refusal</t>
  </si>
  <si>
    <r>
      <t xml:space="preserve">Correctly identifies </t>
    </r>
    <r>
      <rPr>
        <sz val="10"/>
        <color theme="1"/>
        <rFont val="Arial Unicode MS"/>
      </rPr>
      <t>10.12.4.201:8080</t>
    </r>
    <r>
      <rPr>
        <sz val="11"/>
        <color theme="1"/>
        <rFont val="Calibri"/>
        <family val="2"/>
        <scheme val="minor"/>
      </rPr>
      <t xml:space="preserve"> as the unavailable/unresponsive upstream</t>
    </r>
  </si>
  <si>
    <t>Correctly identifies the affected upstream service/component</t>
  </si>
  <si>
    <t>Returns valid JSON with exactly the required 3 fields</t>
  </si>
  <si>
    <t>gemini-3.5-flash</t>
  </si>
  <si>
    <t>Criterion for ID 3</t>
  </si>
  <si>
    <t>role_prompting</t>
  </si>
  <si>
    <t>PII</t>
  </si>
  <si>
    <t>Arabic PII Redaction Checker</t>
  </si>
  <si>
    <t>Log Triage Summarizer</t>
  </si>
  <si>
    <t>Customer Complaint Reply Drafter</t>
  </si>
  <si>
    <t>Correctly identifies the main error as Java OutOfMemoryError: Java heap space</t>
  </si>
  <si>
    <t>Correctly identifies TranscriptProcessor as the affected component</t>
  </si>
  <si>
    <t>Correctly identifies HTTP 429 / API rate limiting as the primary error</t>
  </si>
  <si>
    <t>Correctly identifies that the consumer exceeded the 1200 requests per 60-second window limit</t>
  </si>
  <si>
    <t>Correctly identifies WSO2AM / LogAnalysisAgent:v1 as the affected component or service</t>
  </si>
  <si>
    <t>Detects all PII entities present in the transcript</t>
  </si>
  <si>
    <t>Correctly identifies the entity types</t>
  </si>
  <si>
    <t>Extracts the exact PII values as they appear</t>
  </si>
  <si>
    <t>Provides the correct transcript sentence/line as the position</t>
  </si>
  <si>
    <t>Returns valid JSON with the required structure</t>
  </si>
  <si>
    <t>9/10</t>
  </si>
  <si>
    <t>Notes</t>
  </si>
  <si>
    <t>unique PII values or occurrences ?</t>
  </si>
  <si>
    <t>Criterion for ID 4, 5, 6</t>
  </si>
  <si>
    <t>Criterion for ID 7</t>
  </si>
  <si>
    <t>Criterion for ID 8</t>
  </si>
  <si>
    <t>Follows required format and instruction constraints: exactly 3 sentences, no subject/signature, and no claim of already-taken actions</t>
  </si>
  <si>
    <t>Correctly addresses the unexplained 200 EGP overcharge</t>
  </si>
  <si>
    <t>Acknowledges the previous unanswered support contacts / repeated issue</t>
  </si>
  <si>
    <t>Uses appropriate empathy and professional tone</t>
  </si>
  <si>
    <t>Provides a clear and reasonable next step without inventing actions</t>
  </si>
  <si>
    <t>Does not make unsupported refund, compensation, or resolution promises</t>
  </si>
  <si>
    <t>"unsupported information" Issue: " you can also use the official customer care phone or chat channels for urgent follow-up if you need a faster response."</t>
  </si>
  <si>
    <t>Addresses the 3-day internet outage</t>
  </si>
  <si>
    <t>Acknowledges the two missed technician visits</t>
  </si>
  <si>
    <t>Recognizes the impact on the customer's work and shows appropriate empathy</t>
  </si>
  <si>
    <t>Provides a realistic and actionable next step</t>
  </si>
  <si>
    <t>Avoids unsupported promises or claims of actions already taken</t>
  </si>
  <si>
    <t>Follows the required format: exactly 3 sentences, no subject line or signature</t>
  </si>
  <si>
    <t>Criterion for ID 9</t>
  </si>
  <si>
    <t>mentioned outage and lost work, but did not mention "three days".</t>
  </si>
  <si>
    <t>Addresses the 14-day delay in receiving the replacement SIM</t>
  </si>
  <si>
    <t>Addresses the lack of tracking/shipping information</t>
  </si>
  <si>
    <t>Recognizes the impact of having no working number and shows appropriate empathy</t>
  </si>
  <si>
    <t>Provides a realistic next step or alternative based on the complaint</t>
  </si>
  <si>
    <t>mentioned the delay but didn't explicitly state that it was for 14 days.</t>
  </si>
  <si>
    <t>8/10</t>
  </si>
  <si>
    <t>Gemini issue -1</t>
  </si>
  <si>
    <t>GPT issue -1</t>
  </si>
  <si>
    <t>Correctly identifies JVM heap exhaustion during batch processing as the likely root cause</t>
  </si>
  <si>
    <t>Unsupported action and availability: "I will look directly into your shipment status to see + if we can locate a tracking number or arrange an alternative option for you to get a replacement card" assumes that the support representative has access to the shipment.</t>
  </si>
  <si>
    <t>Complaint</t>
  </si>
  <si>
    <t>Overall</t>
  </si>
  <si>
    <t>Gemini 3.5 Flash</t>
  </si>
  <si>
    <t>29/30</t>
  </si>
  <si>
    <t>27/30</t>
  </si>
  <si>
    <t>Final Accuracy scores</t>
  </si>
  <si>
    <t>Cost per 1M tokens</t>
  </si>
  <si>
    <t>Input Price / 1M</t>
  </si>
  <si>
    <t>Output Price / 1M</t>
  </si>
  <si>
    <t>gpt-5.5</t>
  </si>
  <si>
    <t>Input tokens</t>
  </si>
  <si>
    <t>Output tokens</t>
  </si>
  <si>
    <t>5.56s</t>
  </si>
  <si>
    <t>1.45s</t>
  </si>
  <si>
    <t>1.71s</t>
  </si>
  <si>
    <t>1.03s</t>
  </si>
  <si>
    <t>2.61s</t>
  </si>
  <si>
    <t>1.31s</t>
  </si>
  <si>
    <t>6.65s</t>
  </si>
  <si>
    <t>2.54s</t>
  </si>
  <si>
    <t>4.22s</t>
  </si>
  <si>
    <t>1.48s</t>
  </si>
  <si>
    <t>4.95s</t>
  </si>
  <si>
    <t>1.35s</t>
  </si>
  <si>
    <t>6.91s</t>
  </si>
  <si>
    <t>1.67s</t>
  </si>
  <si>
    <t>3.50s</t>
  </si>
  <si>
    <t>1.30s</t>
  </si>
  <si>
    <t>5.07s</t>
  </si>
  <si>
    <t>1.51s</t>
  </si>
  <si>
    <t>Total</t>
  </si>
  <si>
    <t>Total Costs per task</t>
  </si>
  <si>
    <t>Model / Task</t>
  </si>
  <si>
    <t>Ratio</t>
  </si>
  <si>
    <t>Total Latency per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</si>
</sst>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1" formatCode="0.0%"/>
    <numFmt numFmtId="183" formatCode="_(&quot;$&quot;* #,##0.000_);_(&quot;$&quot;* \(#,##0.000\);_(&quot;$&quot;* &quot;-&quot;??_);_(@_)"/>
    <numFmt numFmtId="187" formatCode="_(&quot;$&quot;* #,##0.0000000_);_(&quot;$&quot;* \(#,##0.00000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171" fontId="0" fillId="0" borderId="0" xfId="0" applyNumberFormat="1" applyAlignment="1">
      <alignment horizontal="center" vertical="center"/>
    </xf>
    <xf numFmtId="0" fontId="4" fillId="0" borderId="0" xfId="0" applyFont="1" applyAlignment="1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/>
    <xf numFmtId="183" fontId="0" fillId="0" borderId="0" xfId="1" applyNumberFormat="1" applyFont="1"/>
    <xf numFmtId="2" fontId="0" fillId="2" borderId="0" xfId="0" applyNumberFormat="1" applyFill="1" applyAlignment="1">
      <alignment horizontal="center" vertical="center"/>
    </xf>
    <xf numFmtId="187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3" fontId="0" fillId="0" borderId="0" xfId="1" applyNumberFormat="1" applyFont="1" applyAlignment="1">
      <alignment horizontal="center" vertical="center"/>
    </xf>
    <xf numFmtId="0" fontId="0" fillId="0" borderId="0" xfId="1" applyNumberFormat="1" applyFont="1"/>
    <xf numFmtId="0" fontId="0" fillId="0" borderId="0" xfId="1" applyNumberFormat="1" applyFont="1" applyAlignment="1">
      <alignment horizontal="center" vertical="center"/>
    </xf>
    <xf numFmtId="0" fontId="0" fillId="5" borderId="1" xfId="0" applyNumberFormat="1" applyFill="1" applyBorder="1"/>
    <xf numFmtId="2" fontId="0" fillId="5" borderId="1" xfId="0" applyNumberFormat="1" applyFill="1" applyBorder="1"/>
    <xf numFmtId="187" fontId="0" fillId="5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Normal="100" workbookViewId="0">
      <selection activeCell="H2" sqref="H2"/>
    </sheetView>
  </sheetViews>
  <sheetFormatPr defaultRowHeight="14.4"/>
  <cols>
    <col min="1" max="1" width="14.77734375" style="5" bestFit="1" customWidth="1"/>
    <col min="2" max="2" width="30.109375" bestFit="1" customWidth="1"/>
    <col min="3" max="3" width="17.5546875" customWidth="1"/>
    <col min="4" max="4" width="14.33203125" bestFit="1" customWidth="1"/>
    <col min="5" max="5" width="8.5546875" style="7" bestFit="1" customWidth="1"/>
    <col min="7" max="7" width="11.109375" bestFit="1" customWidth="1"/>
    <col min="8" max="8" width="12.5546875" bestFit="1" customWidth="1"/>
    <col min="9" max="9" width="16.88671875" style="20" customWidth="1"/>
    <col min="10" max="10" width="240.109375" bestFit="1" customWidth="1"/>
    <col min="13" max="13" width="9.33203125" bestFit="1" customWidth="1"/>
  </cols>
  <sheetData>
    <row r="1" spans="1:10" s="1" customFormat="1">
      <c r="A1" s="4" t="s">
        <v>2</v>
      </c>
      <c r="B1" s="1" t="s">
        <v>0</v>
      </c>
      <c r="C1" s="1" t="s">
        <v>1</v>
      </c>
      <c r="D1" s="1" t="s">
        <v>3</v>
      </c>
      <c r="E1" s="6" t="s">
        <v>4</v>
      </c>
      <c r="F1" s="1" t="s">
        <v>78</v>
      </c>
      <c r="G1" s="1" t="s">
        <v>79</v>
      </c>
      <c r="H1" s="18" t="s">
        <v>5</v>
      </c>
      <c r="I1" s="2" t="s">
        <v>6</v>
      </c>
      <c r="J1" s="1" t="s">
        <v>38</v>
      </c>
    </row>
    <row r="2" spans="1:10">
      <c r="A2" s="5">
        <v>1</v>
      </c>
      <c r="B2" t="s">
        <v>25</v>
      </c>
      <c r="C2" t="s">
        <v>8</v>
      </c>
      <c r="D2" t="s">
        <v>10</v>
      </c>
      <c r="E2" s="7" t="s">
        <v>11</v>
      </c>
      <c r="F2">
        <v>510</v>
      </c>
      <c r="G2">
        <v>223</v>
      </c>
      <c r="H2" s="19">
        <f>(F2/1000000)*_xlfn.XLOOKUP(D2,$A$25:$A$26,$B$25:$B$26)+(G2/1000000)*_xlfn.XLOOKUP(D2,$A$25:$A$26,$C$25:$C$26)</f>
        <v>9.2399999999999999E-3</v>
      </c>
      <c r="I2" s="3" t="s">
        <v>80</v>
      </c>
    </row>
    <row r="3" spans="1:10">
      <c r="A3" s="5">
        <v>1</v>
      </c>
      <c r="B3" t="s">
        <v>25</v>
      </c>
      <c r="C3" t="s">
        <v>8</v>
      </c>
      <c r="D3" t="s">
        <v>20</v>
      </c>
      <c r="E3" s="7" t="s">
        <v>11</v>
      </c>
      <c r="F3">
        <v>641</v>
      </c>
      <c r="G3">
        <v>97</v>
      </c>
      <c r="H3" s="19">
        <f>(F3/1000000)*_xlfn.XLOOKUP(D3,$A$25:$A$26,$B$25:$B$26)+(G3/1000000)*_xlfn.XLOOKUP(D3,$A$25:$A$26,$C$25:$C$26)</f>
        <v>1.8344999999999998E-3</v>
      </c>
      <c r="I3" s="3" t="s">
        <v>81</v>
      </c>
    </row>
    <row r="4" spans="1:10">
      <c r="A4" s="5">
        <v>2</v>
      </c>
      <c r="B4" t="s">
        <v>25</v>
      </c>
      <c r="C4" t="s">
        <v>9</v>
      </c>
      <c r="D4" t="s">
        <v>10</v>
      </c>
      <c r="E4" s="7" t="s">
        <v>11</v>
      </c>
      <c r="F4">
        <v>563</v>
      </c>
      <c r="G4">
        <v>80</v>
      </c>
      <c r="H4" s="19">
        <f>(F4/1000000)*_xlfn.XLOOKUP(D4,$A$25:$A$26,$B$25:$B$26)+(G4/1000000)*_xlfn.XLOOKUP(D4,$A$25:$A$26,$C$25:$C$26)</f>
        <v>5.2150000000000009E-3</v>
      </c>
      <c r="I4" s="3" t="s">
        <v>82</v>
      </c>
    </row>
    <row r="5" spans="1:10">
      <c r="A5" s="5">
        <v>2</v>
      </c>
      <c r="B5" t="s">
        <v>25</v>
      </c>
      <c r="C5" t="s">
        <v>9</v>
      </c>
      <c r="D5" t="s">
        <v>20</v>
      </c>
      <c r="E5" s="7" t="s">
        <v>11</v>
      </c>
      <c r="F5">
        <v>691</v>
      </c>
      <c r="G5">
        <v>94</v>
      </c>
      <c r="H5" s="19">
        <f>(F5/1000000)*_xlfn.XLOOKUP(D5,$A$25:$A$26,$B$25:$B$26)+(G5/1000000)*_xlfn.XLOOKUP(D5,$A$25:$A$26,$C$25:$C$26)</f>
        <v>1.8825000000000001E-3</v>
      </c>
      <c r="I5" s="3" t="s">
        <v>83</v>
      </c>
    </row>
    <row r="6" spans="1:10">
      <c r="A6" s="5">
        <v>3</v>
      </c>
      <c r="B6" t="s">
        <v>25</v>
      </c>
      <c r="C6" t="s">
        <v>22</v>
      </c>
      <c r="D6" t="s">
        <v>10</v>
      </c>
      <c r="E6" s="7" t="s">
        <v>11</v>
      </c>
      <c r="F6">
        <v>382</v>
      </c>
      <c r="G6">
        <v>156</v>
      </c>
      <c r="H6" s="19">
        <f>(F6/1000000)*_xlfn.XLOOKUP(D6,$A$25:$A$26,$B$25:$B$26)+(G6/1000000)*_xlfn.XLOOKUP(D6,$A$25:$A$26,$C$25:$C$26)</f>
        <v>6.5900000000000004E-3</v>
      </c>
      <c r="I6" s="3" t="s">
        <v>84</v>
      </c>
    </row>
    <row r="7" spans="1:10">
      <c r="A7" s="5">
        <v>3</v>
      </c>
      <c r="B7" t="s">
        <v>25</v>
      </c>
      <c r="C7" t="s">
        <v>22</v>
      </c>
      <c r="D7" t="s">
        <v>20</v>
      </c>
      <c r="E7" s="7" t="s">
        <v>11</v>
      </c>
      <c r="F7">
        <v>465</v>
      </c>
      <c r="G7">
        <v>107</v>
      </c>
      <c r="H7" s="19">
        <f>(F7/1000000)*_xlfn.XLOOKUP(D7,$A$25:$A$26,$B$25:$B$26)+(G7/1000000)*_xlfn.XLOOKUP(D7,$A$25:$A$26,$C$25:$C$26)</f>
        <v>1.6605000000000001E-3</v>
      </c>
      <c r="I7" s="3" t="s">
        <v>85</v>
      </c>
    </row>
    <row r="8" spans="1:10">
      <c r="A8" s="5">
        <v>4</v>
      </c>
      <c r="B8" t="s">
        <v>24</v>
      </c>
      <c r="C8" t="s">
        <v>8</v>
      </c>
      <c r="D8" t="s">
        <v>10</v>
      </c>
      <c r="E8" s="7" t="s">
        <v>11</v>
      </c>
      <c r="F8">
        <v>364</v>
      </c>
      <c r="G8">
        <v>409</v>
      </c>
      <c r="H8" s="19">
        <f>(F8/1000000)*_xlfn.XLOOKUP(D8,$A$25:$A$26,$B$25:$B$26)+(G8/1000000)*_xlfn.XLOOKUP(D8,$A$25:$A$26,$C$25:$C$26)</f>
        <v>1.4090000000000002E-2</v>
      </c>
      <c r="I8" s="3" t="s">
        <v>86</v>
      </c>
      <c r="J8" t="s">
        <v>39</v>
      </c>
    </row>
    <row r="9" spans="1:10">
      <c r="A9" s="5">
        <v>4</v>
      </c>
      <c r="B9" t="s">
        <v>24</v>
      </c>
      <c r="C9" t="s">
        <v>8</v>
      </c>
      <c r="D9" t="s">
        <v>20</v>
      </c>
      <c r="E9" s="7" t="s">
        <v>11</v>
      </c>
      <c r="F9">
        <v>407</v>
      </c>
      <c r="G9">
        <v>330</v>
      </c>
      <c r="H9" s="19">
        <f>(F9/1000000)*_xlfn.XLOOKUP(D9,$A$25:$A$26,$B$25:$B$26)+(G9/1000000)*_xlfn.XLOOKUP(D9,$A$25:$A$26,$C$25:$C$26)</f>
        <v>3.5804999999999999E-3</v>
      </c>
      <c r="I9" s="3" t="s">
        <v>87</v>
      </c>
      <c r="J9" t="s">
        <v>39</v>
      </c>
    </row>
    <row r="10" spans="1:10">
      <c r="A10" s="5">
        <v>5</v>
      </c>
      <c r="B10" t="s">
        <v>24</v>
      </c>
      <c r="C10" t="s">
        <v>9</v>
      </c>
      <c r="D10" t="s">
        <v>10</v>
      </c>
      <c r="E10" s="7" t="s">
        <v>11</v>
      </c>
      <c r="F10">
        <v>524</v>
      </c>
      <c r="G10">
        <v>253</v>
      </c>
      <c r="H10" s="19">
        <f>(F10/1000000)*_xlfn.XLOOKUP(D10,$A$25:$A$26,$B$25:$B$26)+(G10/1000000)*_xlfn.XLOOKUP(D10,$A$25:$A$26,$C$25:$C$26)</f>
        <v>1.021E-2</v>
      </c>
      <c r="I10" s="3" t="s">
        <v>88</v>
      </c>
    </row>
    <row r="11" spans="1:10">
      <c r="A11" s="5">
        <v>5</v>
      </c>
      <c r="B11" t="s">
        <v>24</v>
      </c>
      <c r="C11" t="s">
        <v>9</v>
      </c>
      <c r="D11" t="s">
        <v>20</v>
      </c>
      <c r="E11" s="7" t="s">
        <v>11</v>
      </c>
      <c r="F11">
        <v>602</v>
      </c>
      <c r="G11">
        <v>241</v>
      </c>
      <c r="H11" s="19">
        <f>(F11/1000000)*_xlfn.XLOOKUP(D11,$A$25:$A$26,$B$25:$B$26)+(G11/1000000)*_xlfn.XLOOKUP(D11,$A$25:$A$26,$C$25:$C$26)</f>
        <v>3.0720000000000001E-3</v>
      </c>
      <c r="I11" s="3" t="s">
        <v>89</v>
      </c>
    </row>
    <row r="12" spans="1:10">
      <c r="A12" s="5">
        <v>6</v>
      </c>
      <c r="B12" t="s">
        <v>24</v>
      </c>
      <c r="C12" t="s">
        <v>22</v>
      </c>
      <c r="D12" t="s">
        <v>10</v>
      </c>
      <c r="E12" s="7" t="s">
        <v>11</v>
      </c>
      <c r="F12">
        <v>338</v>
      </c>
      <c r="G12">
        <v>264</v>
      </c>
      <c r="H12" s="19">
        <f>(F12/1000000)*_xlfn.XLOOKUP(D12,$A$25:$A$26,$B$25:$B$26)+(G12/1000000)*_xlfn.XLOOKUP(D12,$A$25:$A$26,$C$25:$C$26)</f>
        <v>9.6100000000000005E-3</v>
      </c>
      <c r="I12" s="3" t="s">
        <v>90</v>
      </c>
    </row>
    <row r="13" spans="1:10">
      <c r="A13" s="5">
        <v>6</v>
      </c>
      <c r="B13" t="s">
        <v>24</v>
      </c>
      <c r="C13" t="s">
        <v>22</v>
      </c>
      <c r="D13" t="s">
        <v>20</v>
      </c>
      <c r="E13" s="7" t="s">
        <v>11</v>
      </c>
      <c r="F13">
        <v>371</v>
      </c>
      <c r="G13">
        <v>239</v>
      </c>
      <c r="H13" s="19">
        <f>(F13/1000000)*_xlfn.XLOOKUP(D13,$A$25:$A$26,$B$25:$B$26)+(G13/1000000)*_xlfn.XLOOKUP(D13,$A$25:$A$26,$C$25:$C$26)</f>
        <v>2.7075000000000003E-3</v>
      </c>
      <c r="I13" s="3" t="s">
        <v>91</v>
      </c>
    </row>
    <row r="14" spans="1:10">
      <c r="A14" s="5">
        <v>7</v>
      </c>
      <c r="B14" t="s">
        <v>26</v>
      </c>
      <c r="C14" t="s">
        <v>8</v>
      </c>
      <c r="D14" t="s">
        <v>10</v>
      </c>
      <c r="E14" s="8" t="s">
        <v>37</v>
      </c>
      <c r="F14">
        <v>335</v>
      </c>
      <c r="G14">
        <v>425</v>
      </c>
      <c r="H14" s="19">
        <f>(F14/1000000)*_xlfn.XLOOKUP(D14,$A$25:$A$26,$B$25:$B$26)+(G14/1000000)*_xlfn.XLOOKUP(D14,$A$25:$A$26,$C$25:$C$26)</f>
        <v>1.4424999999999999E-2</v>
      </c>
      <c r="I14" s="3" t="s">
        <v>92</v>
      </c>
      <c r="J14" t="s">
        <v>49</v>
      </c>
    </row>
    <row r="15" spans="1:10">
      <c r="A15" s="5">
        <v>7</v>
      </c>
      <c r="B15" t="s">
        <v>26</v>
      </c>
      <c r="C15" t="s">
        <v>8</v>
      </c>
      <c r="D15" t="s">
        <v>20</v>
      </c>
      <c r="E15" s="7" t="s">
        <v>11</v>
      </c>
      <c r="F15">
        <v>368</v>
      </c>
      <c r="G15">
        <v>91</v>
      </c>
      <c r="H15" s="19">
        <f>(F15/1000000)*_xlfn.XLOOKUP(D15,$A$25:$A$26,$B$25:$B$26)+(G15/1000000)*_xlfn.XLOOKUP(D15,$A$25:$A$26,$C$25:$C$26)</f>
        <v>1.371E-3</v>
      </c>
      <c r="I15" s="3" t="s">
        <v>93</v>
      </c>
    </row>
    <row r="16" spans="1:10">
      <c r="A16" s="5">
        <v>8</v>
      </c>
      <c r="B16" t="s">
        <v>26</v>
      </c>
      <c r="C16" t="s">
        <v>9</v>
      </c>
      <c r="D16" t="s">
        <v>10</v>
      </c>
      <c r="E16" s="7" t="s">
        <v>11</v>
      </c>
      <c r="F16">
        <v>446</v>
      </c>
      <c r="G16">
        <v>175</v>
      </c>
      <c r="H16" s="19">
        <f>(F16/1000000)*_xlfn.XLOOKUP(D16,$A$25:$A$26,$B$25:$B$26)+(G16/1000000)*_xlfn.XLOOKUP(D16,$A$25:$A$26,$C$25:$C$26)</f>
        <v>7.4800000000000005E-3</v>
      </c>
      <c r="I16" s="3" t="s">
        <v>94</v>
      </c>
    </row>
    <row r="17" spans="1:10">
      <c r="A17" s="5">
        <v>8</v>
      </c>
      <c r="B17" t="s">
        <v>26</v>
      </c>
      <c r="C17" t="s">
        <v>9</v>
      </c>
      <c r="D17" t="s">
        <v>20</v>
      </c>
      <c r="E17" s="8" t="s">
        <v>37</v>
      </c>
      <c r="F17">
        <v>454</v>
      </c>
      <c r="G17">
        <v>85</v>
      </c>
      <c r="H17" s="19">
        <f>(F17/1000000)*_xlfn.XLOOKUP(D17,$A$25:$A$26,$B$25:$B$26)+(G17/1000000)*_xlfn.XLOOKUP(D17,$A$25:$A$26,$C$25:$C$26)</f>
        <v>1.446E-3</v>
      </c>
      <c r="I17" s="3" t="s">
        <v>95</v>
      </c>
      <c r="J17" t="s">
        <v>57</v>
      </c>
    </row>
    <row r="18" spans="1:10">
      <c r="A18" s="5">
        <v>9</v>
      </c>
      <c r="B18" t="s">
        <v>26</v>
      </c>
      <c r="C18" t="s">
        <v>22</v>
      </c>
      <c r="D18" t="s">
        <v>10</v>
      </c>
      <c r="E18" s="7" t="s">
        <v>11</v>
      </c>
      <c r="F18">
        <v>300</v>
      </c>
      <c r="G18">
        <v>214</v>
      </c>
      <c r="H18" s="19">
        <f>(F18/1000000)*_xlfn.XLOOKUP(D18,$A$25:$A$26,$B$25:$B$26)+(G18/1000000)*_xlfn.XLOOKUP(D18,$A$25:$A$26,$C$25:$C$26)</f>
        <v>7.92E-3</v>
      </c>
      <c r="I18" s="3" t="s">
        <v>96</v>
      </c>
    </row>
    <row r="19" spans="1:10">
      <c r="A19" s="5">
        <v>9</v>
      </c>
      <c r="B19" t="s">
        <v>26</v>
      </c>
      <c r="C19" t="s">
        <v>22</v>
      </c>
      <c r="D19" t="s">
        <v>20</v>
      </c>
      <c r="E19" s="8" t="s">
        <v>63</v>
      </c>
      <c r="F19">
        <v>318</v>
      </c>
      <c r="G19">
        <v>81</v>
      </c>
      <c r="H19" s="19">
        <f>(F19/1000000)*_xlfn.XLOOKUP(D19,$A$25:$A$26,$B$25:$B$26)+(G19/1000000)*_xlfn.XLOOKUP(D19,$A$25:$A$26,$C$25:$C$26)</f>
        <v>1.206E-3</v>
      </c>
      <c r="I19" s="3" t="s">
        <v>97</v>
      </c>
      <c r="J19" t="s">
        <v>62</v>
      </c>
    </row>
    <row r="20" spans="1:10">
      <c r="J20" t="s">
        <v>67</v>
      </c>
    </row>
    <row r="23" spans="1:10">
      <c r="A23" s="10" t="s">
        <v>74</v>
      </c>
      <c r="B23" s="10"/>
      <c r="C23" s="10"/>
    </row>
    <row r="24" spans="1:10">
      <c r="A24" s="14" t="s">
        <v>3</v>
      </c>
      <c r="B24" s="14" t="s">
        <v>75</v>
      </c>
      <c r="C24" s="14" t="s">
        <v>76</v>
      </c>
    </row>
    <row r="25" spans="1:10">
      <c r="A25" s="15" t="s">
        <v>77</v>
      </c>
      <c r="B25" s="15">
        <v>5</v>
      </c>
      <c r="C25" s="15">
        <v>30</v>
      </c>
    </row>
    <row r="26" spans="1:10">
      <c r="A26" s="15" t="s">
        <v>20</v>
      </c>
      <c r="B26" s="15">
        <v>1.5</v>
      </c>
      <c r="C26" s="15">
        <v>9</v>
      </c>
    </row>
    <row r="30" spans="1:10">
      <c r="D30" s="16"/>
      <c r="E30" s="16"/>
    </row>
    <row r="31" spans="1:10">
      <c r="D31" s="13"/>
      <c r="E31" s="13"/>
    </row>
    <row r="32" spans="1:10">
      <c r="D32" s="13"/>
      <c r="E32" s="13"/>
    </row>
    <row r="33" spans="7:7">
      <c r="G33" s="19"/>
    </row>
    <row r="34" spans="7:7">
      <c r="G34" s="19"/>
    </row>
    <row r="35" spans="7:7">
      <c r="G35" s="19"/>
    </row>
    <row r="36" spans="7:7">
      <c r="G36" s="19"/>
    </row>
    <row r="37" spans="7:7">
      <c r="G37" s="19"/>
    </row>
    <row r="38" spans="7:7">
      <c r="G38" s="19"/>
    </row>
    <row r="39" spans="7:7">
      <c r="G39" s="19"/>
    </row>
    <row r="40" spans="7:7">
      <c r="G40" s="19"/>
    </row>
    <row r="41" spans="7:7">
      <c r="G41" s="19"/>
    </row>
  </sheetData>
  <mergeCells count="1">
    <mergeCell ref="A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E336-2A27-4041-ADAB-60945BD7FA52}">
  <dimension ref="A1:C59"/>
  <sheetViews>
    <sheetView zoomScaleNormal="100" workbookViewId="0">
      <selection activeCell="A7" sqref="A7"/>
    </sheetView>
  </sheetViews>
  <sheetFormatPr defaultRowHeight="14.4"/>
  <cols>
    <col min="1" max="1" width="124.6640625" bestFit="1" customWidth="1"/>
    <col min="3" max="3" width="13.44140625" bestFit="1" customWidth="1"/>
  </cols>
  <sheetData>
    <row r="1" spans="1:2">
      <c r="A1" s="1" t="s">
        <v>14</v>
      </c>
      <c r="B1" s="1" t="s">
        <v>13</v>
      </c>
    </row>
    <row r="2" spans="1:2">
      <c r="A2" t="s">
        <v>16</v>
      </c>
      <c r="B2">
        <v>3</v>
      </c>
    </row>
    <row r="3" spans="1:2">
      <c r="A3" t="s">
        <v>17</v>
      </c>
      <c r="B3">
        <v>3</v>
      </c>
    </row>
    <row r="4" spans="1:2">
      <c r="A4" t="s">
        <v>18</v>
      </c>
      <c r="B4">
        <v>2</v>
      </c>
    </row>
    <row r="5" spans="1:2">
      <c r="A5" t="s">
        <v>19</v>
      </c>
      <c r="B5">
        <v>2</v>
      </c>
    </row>
    <row r="9" spans="1:2">
      <c r="A9" s="1" t="s">
        <v>15</v>
      </c>
      <c r="B9" s="1" t="s">
        <v>13</v>
      </c>
    </row>
    <row r="10" spans="1:2">
      <c r="A10" t="s">
        <v>27</v>
      </c>
      <c r="B10">
        <v>3</v>
      </c>
    </row>
    <row r="11" spans="1:2">
      <c r="A11" t="s">
        <v>66</v>
      </c>
      <c r="B11">
        <v>3</v>
      </c>
    </row>
    <row r="12" spans="1:2">
      <c r="A12" t="s">
        <v>28</v>
      </c>
      <c r="B12">
        <v>2</v>
      </c>
    </row>
    <row r="13" spans="1:2">
      <c r="A13" t="s">
        <v>19</v>
      </c>
      <c r="B13">
        <v>2</v>
      </c>
    </row>
    <row r="17" spans="1:2">
      <c r="A17" s="1" t="s">
        <v>21</v>
      </c>
      <c r="B17" s="1" t="s">
        <v>13</v>
      </c>
    </row>
    <row r="18" spans="1:2">
      <c r="A18" t="s">
        <v>29</v>
      </c>
      <c r="B18">
        <v>3</v>
      </c>
    </row>
    <row r="19" spans="1:2">
      <c r="A19" t="s">
        <v>30</v>
      </c>
      <c r="B19">
        <v>3</v>
      </c>
    </row>
    <row r="20" spans="1:2">
      <c r="A20" t="s">
        <v>31</v>
      </c>
      <c r="B20">
        <v>2</v>
      </c>
    </row>
    <row r="21" spans="1:2">
      <c r="A21" t="s">
        <v>19</v>
      </c>
      <c r="B21">
        <v>2</v>
      </c>
    </row>
    <row r="25" spans="1:2">
      <c r="A25" s="1" t="s">
        <v>40</v>
      </c>
      <c r="B25" s="1" t="s">
        <v>13</v>
      </c>
    </row>
    <row r="26" spans="1:2">
      <c r="A26" t="s">
        <v>32</v>
      </c>
      <c r="B26">
        <v>5</v>
      </c>
    </row>
    <row r="27" spans="1:2">
      <c r="A27" t="s">
        <v>33</v>
      </c>
      <c r="B27">
        <v>2</v>
      </c>
    </row>
    <row r="28" spans="1:2">
      <c r="A28" t="s">
        <v>34</v>
      </c>
      <c r="B28">
        <v>1</v>
      </c>
    </row>
    <row r="29" spans="1:2">
      <c r="A29" t="s">
        <v>35</v>
      </c>
      <c r="B29">
        <v>1</v>
      </c>
    </row>
    <row r="30" spans="1:2">
      <c r="A30" t="s">
        <v>36</v>
      </c>
      <c r="B30">
        <v>1</v>
      </c>
    </row>
    <row r="34" spans="1:3">
      <c r="A34" s="1" t="s">
        <v>41</v>
      </c>
      <c r="B34" s="1" t="s">
        <v>13</v>
      </c>
    </row>
    <row r="35" spans="1:3">
      <c r="A35" t="s">
        <v>44</v>
      </c>
      <c r="B35">
        <v>2</v>
      </c>
    </row>
    <row r="36" spans="1:3">
      <c r="A36" t="s">
        <v>45</v>
      </c>
      <c r="B36">
        <v>2</v>
      </c>
    </row>
    <row r="37" spans="1:3">
      <c r="A37" t="s">
        <v>46</v>
      </c>
      <c r="B37">
        <v>2</v>
      </c>
    </row>
    <row r="38" spans="1:3">
      <c r="A38" t="s">
        <v>47</v>
      </c>
      <c r="B38">
        <v>2</v>
      </c>
    </row>
    <row r="39" spans="1:3">
      <c r="A39" t="s">
        <v>48</v>
      </c>
      <c r="B39">
        <v>1</v>
      </c>
      <c r="C39" s="9" t="s">
        <v>65</v>
      </c>
    </row>
    <row r="40" spans="1:3">
      <c r="A40" t="s">
        <v>43</v>
      </c>
      <c r="B40">
        <v>1</v>
      </c>
    </row>
    <row r="43" spans="1:3">
      <c r="A43" s="1" t="s">
        <v>42</v>
      </c>
      <c r="B43" s="1" t="s">
        <v>13</v>
      </c>
    </row>
    <row r="44" spans="1:3">
      <c r="A44" t="s">
        <v>50</v>
      </c>
      <c r="B44">
        <v>2</v>
      </c>
      <c r="C44" s="9" t="s">
        <v>64</v>
      </c>
    </row>
    <row r="45" spans="1:3">
      <c r="A45" t="s">
        <v>51</v>
      </c>
      <c r="B45">
        <v>2</v>
      </c>
    </row>
    <row r="46" spans="1:3">
      <c r="A46" t="s">
        <v>52</v>
      </c>
      <c r="B46">
        <v>2</v>
      </c>
    </row>
    <row r="47" spans="1:3">
      <c r="A47" t="s">
        <v>53</v>
      </c>
      <c r="B47">
        <v>2</v>
      </c>
    </row>
    <row r="48" spans="1:3">
      <c r="A48" t="s">
        <v>54</v>
      </c>
      <c r="B48">
        <v>1</v>
      </c>
    </row>
    <row r="49" spans="1:3">
      <c r="A49" t="s">
        <v>55</v>
      </c>
      <c r="B49">
        <v>1</v>
      </c>
    </row>
    <row r="53" spans="1:3">
      <c r="A53" s="1" t="s">
        <v>56</v>
      </c>
      <c r="B53" s="1" t="s">
        <v>13</v>
      </c>
    </row>
    <row r="54" spans="1:3">
      <c r="A54" t="s">
        <v>58</v>
      </c>
      <c r="B54">
        <v>2</v>
      </c>
      <c r="C54" s="9" t="s">
        <v>64</v>
      </c>
    </row>
    <row r="55" spans="1:3">
      <c r="A55" t="s">
        <v>59</v>
      </c>
      <c r="B55">
        <v>2</v>
      </c>
    </row>
    <row r="56" spans="1:3">
      <c r="A56" t="s">
        <v>60</v>
      </c>
      <c r="B56">
        <v>2</v>
      </c>
    </row>
    <row r="57" spans="1:3">
      <c r="A57" t="s">
        <v>61</v>
      </c>
      <c r="B57">
        <v>2</v>
      </c>
    </row>
    <row r="58" spans="1:3">
      <c r="A58" t="s">
        <v>54</v>
      </c>
      <c r="B58">
        <v>1</v>
      </c>
      <c r="C58" s="9" t="s">
        <v>64</v>
      </c>
    </row>
    <row r="59" spans="1:3">
      <c r="A59" t="s">
        <v>55</v>
      </c>
      <c r="B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9803-8C1F-43ED-A0B7-FFAFC5C25752}">
  <dimension ref="A1:F43"/>
  <sheetViews>
    <sheetView workbookViewId="0">
      <selection activeCell="H26" sqref="H26"/>
    </sheetView>
  </sheetViews>
  <sheetFormatPr defaultRowHeight="14.4"/>
  <cols>
    <col min="1" max="1" width="14.33203125" bestFit="1" customWidth="1"/>
    <col min="2" max="2" width="19.5546875" bestFit="1" customWidth="1"/>
    <col min="3" max="3" width="24.6640625" bestFit="1" customWidth="1"/>
    <col min="4" max="4" width="29.33203125" bestFit="1" customWidth="1"/>
    <col min="5" max="5" width="12.6640625" bestFit="1" customWidth="1"/>
  </cols>
  <sheetData>
    <row r="1" spans="1:6">
      <c r="A1" s="10" t="s">
        <v>73</v>
      </c>
      <c r="B1" s="10"/>
      <c r="C1" s="10"/>
      <c r="D1" s="10"/>
      <c r="E1" s="10"/>
    </row>
    <row r="2" spans="1:6" ht="28.8">
      <c r="A2" s="11" t="s">
        <v>3</v>
      </c>
      <c r="B2" s="11" t="s">
        <v>7</v>
      </c>
      <c r="C2" s="11" t="s">
        <v>23</v>
      </c>
      <c r="D2" s="11" t="s">
        <v>68</v>
      </c>
      <c r="E2" s="11" t="s">
        <v>69</v>
      </c>
    </row>
    <row r="3" spans="1:6">
      <c r="A3" t="s">
        <v>10</v>
      </c>
      <c r="B3" t="s">
        <v>12</v>
      </c>
      <c r="C3" t="s">
        <v>12</v>
      </c>
      <c r="D3" t="s">
        <v>71</v>
      </c>
      <c r="E3" s="12">
        <v>0.98899999999999999</v>
      </c>
    </row>
    <row r="4" spans="1:6">
      <c r="A4" t="s">
        <v>70</v>
      </c>
      <c r="B4" t="s">
        <v>12</v>
      </c>
      <c r="C4" t="s">
        <v>12</v>
      </c>
      <c r="D4" t="s">
        <v>72</v>
      </c>
      <c r="E4" s="12">
        <v>0.96699999999999997</v>
      </c>
    </row>
    <row r="10" spans="1:6">
      <c r="A10" s="10" t="s">
        <v>99</v>
      </c>
      <c r="B10" s="10"/>
      <c r="C10" s="10"/>
      <c r="D10" s="10"/>
      <c r="E10" s="10"/>
      <c r="F10" s="10"/>
    </row>
    <row r="11" spans="1:6">
      <c r="A11" t="s">
        <v>100</v>
      </c>
      <c r="B11" t="s">
        <v>25</v>
      </c>
      <c r="C11" t="s">
        <v>24</v>
      </c>
      <c r="D11" s="3" t="s">
        <v>26</v>
      </c>
      <c r="E11" s="24" t="s">
        <v>98</v>
      </c>
      <c r="F11" s="24" t="s">
        <v>101</v>
      </c>
    </row>
    <row r="12" spans="1:6">
      <c r="A12" t="s">
        <v>10</v>
      </c>
      <c r="B12" s="17">
        <v>2.1045000000000001E-2</v>
      </c>
      <c r="C12" s="21">
        <v>3.3910000000000003E-2</v>
      </c>
      <c r="D12" s="17">
        <v>2.9825000000000001E-2</v>
      </c>
      <c r="E12" s="26">
        <f>SUM(B12:D12)</f>
        <v>8.4780000000000008E-2</v>
      </c>
      <c r="F12" s="25">
        <f>E12/E13</f>
        <v>4.5190693211801394</v>
      </c>
    </row>
    <row r="13" spans="1:6">
      <c r="A13" t="s">
        <v>20</v>
      </c>
      <c r="B13" s="17">
        <v>5.3775000000000003E-3</v>
      </c>
      <c r="C13" s="21">
        <v>9.3600000000000003E-3</v>
      </c>
      <c r="D13" s="17">
        <v>4.0229999999999997E-3</v>
      </c>
      <c r="E13" s="26">
        <f>SUM(B13:D13)</f>
        <v>1.8760499999999999E-2</v>
      </c>
      <c r="F13" s="25">
        <f>E13/E13</f>
        <v>1</v>
      </c>
    </row>
    <row r="17" spans="1:6">
      <c r="A17" s="10" t="s">
        <v>102</v>
      </c>
      <c r="B17" s="10"/>
      <c r="C17" s="10"/>
      <c r="D17" s="10"/>
      <c r="E17" s="10"/>
      <c r="F17" s="10"/>
    </row>
    <row r="18" spans="1:6">
      <c r="A18" t="s">
        <v>100</v>
      </c>
      <c r="B18" t="s">
        <v>25</v>
      </c>
      <c r="C18" t="s">
        <v>24</v>
      </c>
      <c r="D18" s="3" t="s">
        <v>26</v>
      </c>
      <c r="E18" s="24" t="s">
        <v>98</v>
      </c>
      <c r="F18" s="24" t="s">
        <v>101</v>
      </c>
    </row>
    <row r="19" spans="1:6">
      <c r="A19" t="s">
        <v>10</v>
      </c>
      <c r="B19" s="22">
        <v>9.8800000000000008</v>
      </c>
      <c r="C19" s="23">
        <v>15.82</v>
      </c>
      <c r="D19" s="22">
        <v>15.48</v>
      </c>
      <c r="E19" s="24">
        <f>SUM(B19:D19)</f>
        <v>41.180000000000007</v>
      </c>
      <c r="F19" s="25">
        <f>E19/E20</f>
        <v>3.019061583577713</v>
      </c>
    </row>
    <row r="20" spans="1:6">
      <c r="A20" t="s">
        <v>20</v>
      </c>
      <c r="B20" s="22">
        <v>3.79</v>
      </c>
      <c r="C20" s="23">
        <v>5.37</v>
      </c>
      <c r="D20" s="22">
        <v>4.4800000000000004</v>
      </c>
      <c r="E20" s="24">
        <f>SUM(B20:D20)</f>
        <v>13.64</v>
      </c>
      <c r="F20" s="25">
        <f>E20/E20</f>
        <v>1</v>
      </c>
    </row>
    <row r="26" spans="1:6">
      <c r="A26" s="3"/>
    </row>
    <row r="27" spans="1:6">
      <c r="A27" s="3"/>
    </row>
    <row r="28" spans="1:6">
      <c r="A28" s="3"/>
    </row>
    <row r="29" spans="1:6">
      <c r="A29" s="3"/>
      <c r="C29" s="3"/>
      <c r="D29" s="3"/>
    </row>
    <row r="30" spans="1:6">
      <c r="A30" s="3"/>
      <c r="C30" s="3"/>
      <c r="D30" s="3"/>
    </row>
    <row r="31" spans="1:6">
      <c r="A31" s="3"/>
      <c r="C31" s="3"/>
      <c r="D31" s="3"/>
    </row>
    <row r="32" spans="1:6">
      <c r="A32" s="3"/>
      <c r="C32" s="3"/>
      <c r="D32" s="3"/>
    </row>
    <row r="33" spans="1:4">
      <c r="A33" s="3"/>
      <c r="C33" s="3"/>
      <c r="D33" s="3"/>
    </row>
    <row r="34" spans="1:4">
      <c r="A34" s="3"/>
      <c r="C34" s="3"/>
      <c r="D34" s="3"/>
    </row>
    <row r="35" spans="1:4">
      <c r="A35" s="3"/>
      <c r="C35" s="3"/>
      <c r="D35" s="3" t="s">
        <v>93</v>
      </c>
    </row>
    <row r="36" spans="1:4">
      <c r="A36" s="3"/>
      <c r="C36" s="3"/>
      <c r="D36" s="3" t="s">
        <v>95</v>
      </c>
    </row>
    <row r="37" spans="1:4">
      <c r="A37" s="3"/>
      <c r="C37" s="3"/>
      <c r="D37" s="3" t="s">
        <v>97</v>
      </c>
    </row>
    <row r="38" spans="1:4">
      <c r="A38" s="3"/>
    </row>
    <row r="39" spans="1:4">
      <c r="A39" s="3"/>
    </row>
    <row r="40" spans="1:4">
      <c r="A40" s="3"/>
    </row>
    <row r="41" spans="1:4">
      <c r="A41" s="3"/>
    </row>
    <row r="42" spans="1:4">
      <c r="A42" s="3"/>
    </row>
    <row r="43" spans="1:4">
      <c r="A43" s="3"/>
    </row>
  </sheetData>
  <mergeCells count="3">
    <mergeCell ref="A1:E1"/>
    <mergeCell ref="A10:F10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Criterion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Ayman</cp:lastModifiedBy>
  <dcterms:created xsi:type="dcterms:W3CDTF">2026-08-10T08:57:38Z</dcterms:created>
  <dcterms:modified xsi:type="dcterms:W3CDTF">2026-08-11T05:19:27Z</dcterms:modified>
</cp:coreProperties>
</file>